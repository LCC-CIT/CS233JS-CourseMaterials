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31" codeName="{643B0D74-A683-FBA9-23B4-8A0AA6E0B6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DataCard/Repos/CS233JS-Repos/CS233JS-CourseMaterials/Labs/TermProject/"/>
    </mc:Choice>
  </mc:AlternateContent>
  <xr:revisionPtr revIDLastSave="0" documentId="13_ncr:1_{B50DB4F7-0B8D-F748-AC07-21A5E9B741EC}" xr6:coauthVersionLast="47" xr6:coauthVersionMax="47" xr10:uidLastSave="{00000000-0000-0000-0000-000000000000}"/>
  <bookViews>
    <workbookView xWindow="0" yWindow="540" windowWidth="17240" windowHeight="15500" activeTab="1" xr2:uid="{5D75B731-65CD-014E-8BBA-DE69945DF98D}"/>
  </bookViews>
  <sheets>
    <sheet name="Rubric" sheetId="1" r:id="rId1"/>
    <sheet name="Grade" sheetId="2" r:id="rId2"/>
  </sheets>
  <definedNames>
    <definedName name="_xleta.SUM" hidden="1" xlm="1">#NAME?</definedName>
    <definedName name="OverallComments">Grade!$A$33</definedName>
    <definedName name="Part1Comments">Grade!$F$7:$F$26</definedName>
    <definedName name="Part1Possible">Grade!$C$7:$C$26</definedName>
    <definedName name="Part1Score">Grade!$D$7:$D$26</definedName>
    <definedName name="Part1Scores">Grade!#REF!</definedName>
    <definedName name="Part2Comments">Grade!$F$7:$F$19</definedName>
    <definedName name="Part2Possible">Grade!$C$7:$C$30</definedName>
    <definedName name="Part2Scores">Grade!#REF!</definedName>
    <definedName name="Part3Comments">Grade!#REF!</definedName>
    <definedName name="Part3Possible">Grade!#REF!</definedName>
    <definedName name="Part3Scores">Grade!#REF!</definedName>
    <definedName name="TotalPossible">Grade!$C$30</definedName>
    <definedName name="TotalScore">Grade!$D$30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" i="2" l="1"/>
  <c r="C20" i="1"/>
  <c r="D30" i="2"/>
  <c r="C30" i="2"/>
  <c r="D31" i="2" l="1"/>
  <c r="I30" i="2"/>
</calcChain>
</file>

<file path=xl/sharedStrings.xml><?xml version="1.0" encoding="utf-8"?>
<sst xmlns="http://schemas.openxmlformats.org/spreadsheetml/2006/main" count="106" uniqueCount="63">
  <si>
    <t>Comments</t>
  </si>
  <si>
    <t>Here's the grade breakdown:</t>
  </si>
  <si>
    <t>Requirements:</t>
  </si>
  <si>
    <t>Points</t>
  </si>
  <si>
    <t>Total</t>
  </si>
  <si>
    <t>Score</t>
  </si>
  <si>
    <t>Yes</t>
  </si>
  <si>
    <t>Excellent</t>
  </si>
  <si>
    <t>Stock comments</t>
  </si>
  <si>
    <t>No</t>
  </si>
  <si>
    <t>Missing</t>
  </si>
  <si>
    <t>Styling and UI design</t>
  </si>
  <si>
    <t>"New" JS technology</t>
  </si>
  <si>
    <t>Babel and Webpack used</t>
  </si>
  <si>
    <t>Overall functionality</t>
  </si>
  <si>
    <t>Running on web server</t>
  </si>
  <si>
    <t>Clear objective</t>
  </si>
  <si>
    <t>User fridendly (good UX)</t>
  </si>
  <si>
    <t>Bootstrap or other CSS library used</t>
  </si>
  <si>
    <t>Professional looking</t>
  </si>
  <si>
    <t>Separation of UI code from other code</t>
  </si>
  <si>
    <t>Only the bundled code running on citstudent</t>
  </si>
  <si>
    <t>local storage, html canvas, regular expressions, chart.js, Google or Azure maps</t>
  </si>
  <si>
    <t>Needs improvement</t>
  </si>
  <si>
    <t>Not workinig</t>
  </si>
  <si>
    <t>CS 233JS Term Projec Final</t>
  </si>
  <si>
    <t>CS 233JS Term Project Final</t>
  </si>
  <si>
    <t>Excellent! Almost everything works, looks good and is done correctly.</t>
  </si>
  <si>
    <t>Very good work! Just a few things missing.</t>
  </si>
  <si>
    <t>Good start, but not everything is finished or working.</t>
  </si>
  <si>
    <t>At least you got a start on this.</t>
  </si>
  <si>
    <t>Good work, you got a lot of it done correctly.</t>
  </si>
  <si>
    <t>None</t>
  </si>
  <si>
    <t>Class(es) used appropriately</t>
  </si>
  <si>
    <t>Style and best practices</t>
  </si>
  <si>
    <t>Web API call</t>
  </si>
  <si>
    <t>User friendly (good UX)</t>
  </si>
  <si>
    <t>CSS, Bootstrap or other CSS library</t>
  </si>
  <si>
    <t>local storage, html canvas, regular expressions, arrow functions, etc.</t>
  </si>
  <si>
    <t>Vitest unit test(s)</t>
  </si>
  <si>
    <t>build and dev scripts work</t>
  </si>
  <si>
    <t>Vite</t>
  </si>
  <si>
    <t>Best Practices and Code Quality</t>
  </si>
  <si>
    <t>Dev name and date in all files</t>
  </si>
  <si>
    <t>File and folder structure/naming</t>
  </si>
  <si>
    <t>Repository and Deployment</t>
  </si>
  <si>
    <t>Bundled code running on a webserver</t>
  </si>
  <si>
    <t>.env used correctly, example.env</t>
  </si>
  <si>
    <t>Git repository and .gitignore</t>
  </si>
  <si>
    <t>fetch used with .then or await</t>
  </si>
  <si>
    <t>correct error handling</t>
  </si>
  <si>
    <t>Design / Separation of UI code</t>
  </si>
  <si>
    <t>Overall Functionality</t>
  </si>
  <si>
    <t>"New" JS Technology</t>
  </si>
  <si>
    <t>Web API Call</t>
  </si>
  <si>
    <t>Styling and UI Design</t>
  </si>
  <si>
    <t>Code review, prod column completed</t>
  </si>
  <si>
    <t>Class(es) Used</t>
  </si>
  <si>
    <t>Yes, yes</t>
  </si>
  <si>
    <t>Some issues</t>
  </si>
  <si>
    <t>Good</t>
  </si>
  <si>
    <t>Excellent work, the web app looks great!</t>
  </si>
  <si>
    <t>Excellent! Everything works and the app and code look great!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</si>
</sst>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b/>
      <i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0"/>
      <color rgb="FF333333"/>
      <name val="Arial"/>
      <family val="2"/>
    </font>
    <font>
      <sz val="12"/>
      <color rgb="FF333333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5" fillId="0" borderId="0" xfId="0" applyFont="1"/>
    <xf numFmtId="49" fontId="1" fillId="0" borderId="0" xfId="0" applyNumberFormat="1" applyFont="1"/>
    <xf numFmtId="0" fontId="6" fillId="0" borderId="0" xfId="0" applyFont="1"/>
    <xf numFmtId="9" fontId="2" fillId="0" borderId="0" xfId="0" applyNumberFormat="1" applyFont="1" applyAlignment="1">
      <alignment horizontal="center" vertical="center"/>
    </xf>
    <xf numFmtId="0" fontId="0" fillId="0" borderId="0" xfId="0" applyAlignment="1">
      <alignment vertical="top"/>
    </xf>
    <xf numFmtId="10" fontId="0" fillId="0" borderId="0" xfId="0" applyNumberFormat="1"/>
    <xf numFmtId="10" fontId="0" fillId="0" borderId="0" xfId="0" applyNumberFormat="1" applyAlignment="1">
      <alignment horizontal="left"/>
    </xf>
    <xf numFmtId="49" fontId="7" fillId="0" borderId="0" xfId="0" applyNumberFormat="1" applyFont="1" applyAlignment="1">
      <alignment vertical="top" wrapText="1"/>
    </xf>
    <xf numFmtId="49" fontId="0" fillId="0" borderId="0" xfId="0" applyNumberFormat="1" applyAlignment="1">
      <alignment horizontal="left" vertical="top" wrapText="1"/>
    </xf>
    <xf numFmtId="49" fontId="0" fillId="0" borderId="0" xfId="0" applyNumberFormat="1" applyAlignment="1">
      <alignment vertical="top" wrapText="1"/>
    </xf>
    <xf numFmtId="49" fontId="8" fillId="0" borderId="0" xfId="0" applyNumberFormat="1" applyFont="1" applyAlignment="1">
      <alignment vertical="top" wrapText="1"/>
    </xf>
    <xf numFmtId="49" fontId="1" fillId="0" borderId="0" xfId="0" applyNumberFormat="1" applyFont="1"/>
    <xf numFmtId="0" fontId="0" fillId="0" borderId="0" xfId="0"/>
    <xf numFmtId="49" fontId="0" fillId="0" borderId="0" xfId="0" applyNumberFormat="1" applyAlignment="1">
      <alignment wrapText="1"/>
    </xf>
    <xf numFmtId="49" fontId="0" fillId="0" borderId="0" xfId="0" applyNumberFormat="1" applyAlignment="1">
      <alignment vertical="top" wrapText="1"/>
    </xf>
    <xf numFmtId="49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1879600</xdr:colOff>
          <xdr:row>30</xdr:row>
          <xdr:rowOff>12700</xdr:rowOff>
        </xdr:from>
        <xdr:to>
          <xdr:col>7</xdr:col>
          <xdr:colOff>622300</xdr:colOff>
          <xdr:row>31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1854200</xdr:colOff>
          <xdr:row>32</xdr:row>
          <xdr:rowOff>12700</xdr:rowOff>
        </xdr:from>
        <xdr:to>
          <xdr:col>7</xdr:col>
          <xdr:colOff>622300</xdr:colOff>
          <xdr:row>33</xdr:row>
          <xdr:rowOff>12700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Comments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F31"/>
  <sheetViews>
    <sheetView zoomScale="150" zoomScaleNormal="150" workbookViewId="0">
      <selection activeCell="C4" sqref="C4:C18"/>
    </sheetView>
  </sheetViews>
  <sheetFormatPr baseColWidth="10" defaultColWidth="11.1640625" defaultRowHeight="16" x14ac:dyDescent="0.2"/>
  <cols>
    <col min="1" max="1" width="1.83203125" customWidth="1"/>
    <col min="2" max="2" width="39.1640625" customWidth="1"/>
    <col min="3" max="3" width="6.1640625" customWidth="1"/>
  </cols>
  <sheetData>
    <row r="1" spans="1:6" x14ac:dyDescent="0.2">
      <c r="A1" s="17" t="s">
        <v>26</v>
      </c>
      <c r="B1" s="17"/>
      <c r="C1" s="17"/>
      <c r="D1" s="17"/>
    </row>
    <row r="2" spans="1:6" x14ac:dyDescent="0.2">
      <c r="A2" s="7"/>
      <c r="B2" s="7"/>
      <c r="C2" s="7"/>
      <c r="D2" s="7"/>
    </row>
    <row r="3" spans="1:6" x14ac:dyDescent="0.2">
      <c r="A3" s="8" t="s">
        <v>2</v>
      </c>
      <c r="B3" s="1"/>
      <c r="C3" s="8" t="s">
        <v>3</v>
      </c>
      <c r="D3" s="2"/>
      <c r="E3" s="2"/>
      <c r="F3" s="5"/>
    </row>
    <row r="4" spans="1:6" x14ac:dyDescent="0.2">
      <c r="A4" t="s">
        <v>11</v>
      </c>
      <c r="B4" s="1"/>
      <c r="C4">
        <v>25</v>
      </c>
      <c r="D4" s="2"/>
      <c r="E4" s="2"/>
      <c r="F4" s="5"/>
    </row>
    <row r="5" spans="1:6" x14ac:dyDescent="0.2">
      <c r="B5" t="s">
        <v>19</v>
      </c>
      <c r="C5" s="8"/>
      <c r="D5" s="2"/>
      <c r="E5" s="2"/>
      <c r="F5" s="5"/>
    </row>
    <row r="6" spans="1:6" x14ac:dyDescent="0.2">
      <c r="B6" t="s">
        <v>18</v>
      </c>
      <c r="C6" s="8"/>
      <c r="D6" s="2"/>
      <c r="E6" s="2"/>
      <c r="F6" s="5"/>
    </row>
    <row r="7" spans="1:6" x14ac:dyDescent="0.2">
      <c r="B7" t="s">
        <v>16</v>
      </c>
      <c r="C7" s="8"/>
      <c r="D7" s="2"/>
      <c r="E7" s="2"/>
      <c r="F7" s="5"/>
    </row>
    <row r="8" spans="1:6" x14ac:dyDescent="0.2">
      <c r="B8" t="s">
        <v>17</v>
      </c>
      <c r="C8" s="8"/>
      <c r="D8" s="2"/>
      <c r="E8" s="2"/>
      <c r="F8" s="5"/>
    </row>
    <row r="9" spans="1:6" x14ac:dyDescent="0.2">
      <c r="A9" t="s">
        <v>20</v>
      </c>
      <c r="C9">
        <v>10</v>
      </c>
      <c r="D9" s="2"/>
      <c r="E9" s="2"/>
      <c r="F9" s="5"/>
    </row>
    <row r="10" spans="1:6" x14ac:dyDescent="0.2">
      <c r="A10" t="s">
        <v>35</v>
      </c>
      <c r="C10">
        <v>25</v>
      </c>
      <c r="D10" s="2"/>
      <c r="E10" s="4"/>
    </row>
    <row r="11" spans="1:6" x14ac:dyDescent="0.2">
      <c r="A11" t="s">
        <v>33</v>
      </c>
      <c r="C11">
        <v>20</v>
      </c>
      <c r="D11" s="2"/>
      <c r="E11" s="4"/>
    </row>
    <row r="12" spans="1:6" x14ac:dyDescent="0.2">
      <c r="A12" t="s">
        <v>12</v>
      </c>
      <c r="C12">
        <v>25</v>
      </c>
      <c r="D12" s="2"/>
      <c r="E12" s="4"/>
    </row>
    <row r="13" spans="1:6" ht="28" x14ac:dyDescent="0.2">
      <c r="B13" s="13" t="s">
        <v>22</v>
      </c>
      <c r="D13" s="2"/>
      <c r="E13" s="4"/>
    </row>
    <row r="14" spans="1:6" x14ac:dyDescent="0.2">
      <c r="A14" t="s">
        <v>13</v>
      </c>
      <c r="C14">
        <v>20</v>
      </c>
      <c r="D14" s="2"/>
      <c r="E14" s="4"/>
    </row>
    <row r="15" spans="1:6" x14ac:dyDescent="0.2">
      <c r="A15" t="s">
        <v>14</v>
      </c>
      <c r="C15">
        <v>40</v>
      </c>
      <c r="D15" s="2"/>
      <c r="E15" s="4"/>
    </row>
    <row r="16" spans="1:6" x14ac:dyDescent="0.2">
      <c r="A16" t="s">
        <v>15</v>
      </c>
      <c r="C16">
        <v>20</v>
      </c>
      <c r="D16" s="2"/>
      <c r="E16" s="4"/>
    </row>
    <row r="17" spans="1:6" x14ac:dyDescent="0.2">
      <c r="B17" t="s">
        <v>21</v>
      </c>
      <c r="D17" s="2"/>
      <c r="E17" s="4"/>
    </row>
    <row r="18" spans="1:6" x14ac:dyDescent="0.2">
      <c r="A18" t="s">
        <v>34</v>
      </c>
      <c r="C18">
        <v>15</v>
      </c>
      <c r="D18" s="2"/>
    </row>
    <row r="19" spans="1:6" x14ac:dyDescent="0.2">
      <c r="B19" s="10"/>
      <c r="C19" s="3"/>
      <c r="F19" s="4"/>
    </row>
    <row r="20" spans="1:6" x14ac:dyDescent="0.2">
      <c r="A20" s="1" t="s">
        <v>4</v>
      </c>
      <c r="C20" s="1">
        <f>SUM(C4:C19)</f>
        <v>200</v>
      </c>
      <c r="D20" s="1"/>
    </row>
    <row r="21" spans="1:6" x14ac:dyDescent="0.2">
      <c r="D21" s="1"/>
      <c r="F21" s="4"/>
    </row>
    <row r="22" spans="1:6" x14ac:dyDescent="0.2">
      <c r="A22" s="1"/>
      <c r="B22" s="1"/>
      <c r="C22" s="6"/>
      <c r="E22" s="4"/>
    </row>
    <row r="23" spans="1:6" x14ac:dyDescent="0.2">
      <c r="B23" s="3"/>
      <c r="E23" s="4"/>
    </row>
    <row r="24" spans="1:6" x14ac:dyDescent="0.2">
      <c r="A24" s="6"/>
      <c r="E24" s="4"/>
    </row>
    <row r="25" spans="1:6" x14ac:dyDescent="0.2">
      <c r="F25" s="4"/>
    </row>
    <row r="27" spans="1:6" x14ac:dyDescent="0.2">
      <c r="D27" s="1"/>
    </row>
    <row r="28" spans="1:6" x14ac:dyDescent="0.2">
      <c r="A28" s="6"/>
      <c r="C28" s="6"/>
    </row>
    <row r="29" spans="1:6" x14ac:dyDescent="0.2">
      <c r="B29" s="3"/>
    </row>
    <row r="30" spans="1:6" x14ac:dyDescent="0.2">
      <c r="A30" s="1"/>
      <c r="C30" s="1"/>
    </row>
    <row r="31" spans="1:6" x14ac:dyDescent="0.2">
      <c r="B31" s="1"/>
    </row>
  </sheetData>
  <mergeCells count="1">
    <mergeCell ref="A1:D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I38"/>
  <sheetViews>
    <sheetView tabSelected="1" topLeftCell="A13" zoomScale="114" zoomScaleNormal="130" workbookViewId="0">
      <selection activeCell="A34" sqref="A34"/>
    </sheetView>
  </sheetViews>
  <sheetFormatPr baseColWidth="10" defaultColWidth="11.1640625" defaultRowHeight="16" x14ac:dyDescent="0.2"/>
  <cols>
    <col min="1" max="1" width="2.6640625" customWidth="1"/>
    <col min="2" max="2" width="30.5" customWidth="1"/>
    <col min="3" max="3" width="8.33203125" customWidth="1"/>
    <col min="4" max="4" width="8" customWidth="1"/>
    <col min="5" max="5" width="1" customWidth="1"/>
    <col min="6" max="6" width="25.6640625" style="4" customWidth="1"/>
    <col min="7" max="7" width="12.1640625" customWidth="1"/>
    <col min="8" max="8" width="21" customWidth="1"/>
  </cols>
  <sheetData>
    <row r="1" spans="1:9" ht="20.5" customHeight="1" x14ac:dyDescent="0.2">
      <c r="A1" s="17" t="s">
        <v>25</v>
      </c>
      <c r="B1" s="17"/>
      <c r="C1" s="17"/>
      <c r="D1" s="17"/>
      <c r="E1" s="18"/>
      <c r="F1" s="18"/>
    </row>
    <row r="2" spans="1:9" x14ac:dyDescent="0.2">
      <c r="A2" s="19" t="s">
        <v>61</v>
      </c>
      <c r="B2" s="19"/>
      <c r="C2" s="19"/>
      <c r="D2" s="19"/>
      <c r="E2" s="19"/>
      <c r="F2" s="19"/>
    </row>
    <row r="3" spans="1:9" x14ac:dyDescent="0.2">
      <c r="A3" s="20"/>
      <c r="B3" s="20"/>
      <c r="C3" s="20"/>
      <c r="D3" s="20"/>
      <c r="E3" s="20"/>
      <c r="F3" s="20"/>
    </row>
    <row r="4" spans="1:9" x14ac:dyDescent="0.2">
      <c r="A4" s="19" t="s">
        <v>1</v>
      </c>
      <c r="B4" s="19"/>
      <c r="C4" s="19"/>
      <c r="D4" s="19"/>
      <c r="E4" s="19"/>
      <c r="F4" s="19"/>
      <c r="G4" s="21" t="s">
        <v>8</v>
      </c>
      <c r="H4" s="22"/>
    </row>
    <row r="5" spans="1:9" ht="17" x14ac:dyDescent="0.2">
      <c r="A5" s="2" t="s">
        <v>2</v>
      </c>
      <c r="C5" s="2" t="s">
        <v>3</v>
      </c>
      <c r="D5" s="2" t="s">
        <v>5</v>
      </c>
      <c r="E5" s="2"/>
      <c r="F5" s="5" t="s">
        <v>0</v>
      </c>
      <c r="G5" s="9">
        <v>1</v>
      </c>
      <c r="H5" s="9">
        <v>0</v>
      </c>
    </row>
    <row r="6" spans="1:9" ht="17" x14ac:dyDescent="0.2">
      <c r="A6" t="s">
        <v>52</v>
      </c>
      <c r="C6">
        <v>50</v>
      </c>
      <c r="D6">
        <v>50</v>
      </c>
      <c r="F6" s="14" t="s">
        <v>7</v>
      </c>
      <c r="G6" s="14" t="s">
        <v>7</v>
      </c>
      <c r="H6" s="14" t="s">
        <v>24</v>
      </c>
      <c r="I6">
        <f>D6/C6</f>
        <v>1</v>
      </c>
    </row>
    <row r="7" spans="1:9" ht="17" x14ac:dyDescent="0.2">
      <c r="A7" t="s">
        <v>54</v>
      </c>
      <c r="C7">
        <v>25</v>
      </c>
      <c r="D7">
        <v>25</v>
      </c>
      <c r="F7" s="14" t="s">
        <v>6</v>
      </c>
      <c r="G7" s="14" t="s">
        <v>6</v>
      </c>
      <c r="H7" s="14" t="s">
        <v>9</v>
      </c>
    </row>
    <row r="8" spans="1:9" x14ac:dyDescent="0.2">
      <c r="B8" t="s">
        <v>49</v>
      </c>
      <c r="F8" s="14"/>
      <c r="G8" s="14"/>
      <c r="H8" s="14"/>
    </row>
    <row r="9" spans="1:9" x14ac:dyDescent="0.2">
      <c r="B9" t="s">
        <v>50</v>
      </c>
      <c r="F9" s="14"/>
      <c r="G9" s="14"/>
      <c r="H9" s="14"/>
    </row>
    <row r="10" spans="1:9" x14ac:dyDescent="0.2">
      <c r="B10" t="s">
        <v>47</v>
      </c>
      <c r="F10" s="14"/>
      <c r="G10" s="14"/>
      <c r="H10" s="14"/>
    </row>
    <row r="11" spans="1:9" ht="17" x14ac:dyDescent="0.2">
      <c r="A11" t="s">
        <v>57</v>
      </c>
      <c r="C11">
        <v>20</v>
      </c>
      <c r="D11">
        <v>20</v>
      </c>
      <c r="F11" s="14" t="s">
        <v>6</v>
      </c>
      <c r="G11" s="14" t="s">
        <v>6</v>
      </c>
      <c r="H11" s="14" t="s">
        <v>9</v>
      </c>
    </row>
    <row r="12" spans="1:9" ht="17" x14ac:dyDescent="0.2">
      <c r="A12" t="s">
        <v>53</v>
      </c>
      <c r="C12">
        <v>25</v>
      </c>
      <c r="D12">
        <v>25</v>
      </c>
      <c r="F12" s="14" t="s">
        <v>6</v>
      </c>
      <c r="G12" s="14" t="s">
        <v>6</v>
      </c>
      <c r="H12" s="14" t="s">
        <v>32</v>
      </c>
    </row>
    <row r="13" spans="1:9" ht="34" x14ac:dyDescent="0.2">
      <c r="B13" s="16" t="s">
        <v>38</v>
      </c>
      <c r="F13" s="14"/>
      <c r="G13" s="14"/>
      <c r="H13" s="14"/>
    </row>
    <row r="14" spans="1:9" x14ac:dyDescent="0.2">
      <c r="A14" t="s">
        <v>41</v>
      </c>
      <c r="C14">
        <v>20</v>
      </c>
      <c r="D14">
        <v>20</v>
      </c>
      <c r="F14" s="14"/>
      <c r="G14" s="14"/>
      <c r="H14" s="14"/>
    </row>
    <row r="15" spans="1:9" ht="17" x14ac:dyDescent="0.2">
      <c r="B15" t="s">
        <v>40</v>
      </c>
      <c r="F15" s="14" t="s">
        <v>6</v>
      </c>
      <c r="G15" s="14" t="s">
        <v>6</v>
      </c>
      <c r="H15" s="14" t="s">
        <v>9</v>
      </c>
    </row>
    <row r="16" spans="1:9" x14ac:dyDescent="0.2">
      <c r="B16" t="s">
        <v>39</v>
      </c>
      <c r="F16" s="14"/>
      <c r="G16" s="14"/>
      <c r="H16" s="14"/>
    </row>
    <row r="17" spans="1:9" ht="17" x14ac:dyDescent="0.2">
      <c r="A17" t="s">
        <v>45</v>
      </c>
      <c r="C17">
        <v>20</v>
      </c>
      <c r="D17">
        <v>20</v>
      </c>
      <c r="F17" s="14" t="s">
        <v>6</v>
      </c>
      <c r="G17" s="14" t="s">
        <v>6</v>
      </c>
      <c r="H17" s="14" t="s">
        <v>9</v>
      </c>
    </row>
    <row r="18" spans="1:9" x14ac:dyDescent="0.2">
      <c r="B18" t="s">
        <v>48</v>
      </c>
      <c r="F18" s="14"/>
      <c r="G18" s="14"/>
      <c r="H18" s="14"/>
    </row>
    <row r="19" spans="1:9" ht="17" x14ac:dyDescent="0.2">
      <c r="B19" t="s">
        <v>46</v>
      </c>
      <c r="F19" s="14" t="s">
        <v>6</v>
      </c>
      <c r="G19" s="14" t="s">
        <v>6</v>
      </c>
      <c r="H19" s="14" t="s">
        <v>9</v>
      </c>
    </row>
    <row r="20" spans="1:9" x14ac:dyDescent="0.2">
      <c r="A20" t="s">
        <v>55</v>
      </c>
      <c r="B20" s="1"/>
      <c r="C20">
        <v>25</v>
      </c>
      <c r="D20">
        <v>25</v>
      </c>
      <c r="E20" s="2"/>
      <c r="F20" s="15"/>
      <c r="G20" s="14"/>
      <c r="H20" s="14"/>
    </row>
    <row r="21" spans="1:9" ht="17" x14ac:dyDescent="0.2">
      <c r="B21" t="s">
        <v>19</v>
      </c>
      <c r="C21" s="8"/>
      <c r="D21" s="8"/>
      <c r="E21" s="4"/>
      <c r="F21" s="14" t="s">
        <v>7</v>
      </c>
      <c r="G21" s="14" t="s">
        <v>7</v>
      </c>
      <c r="H21" s="14" t="s">
        <v>23</v>
      </c>
    </row>
    <row r="22" spans="1:9" ht="17" x14ac:dyDescent="0.2">
      <c r="B22" t="s">
        <v>37</v>
      </c>
      <c r="C22" s="8"/>
      <c r="D22" s="8"/>
      <c r="E22" s="4"/>
      <c r="F22" s="14" t="s">
        <v>6</v>
      </c>
      <c r="G22" s="14" t="s">
        <v>6</v>
      </c>
      <c r="H22" s="14" t="s">
        <v>10</v>
      </c>
    </row>
    <row r="23" spans="1:9" ht="17" x14ac:dyDescent="0.2">
      <c r="B23" t="s">
        <v>36</v>
      </c>
      <c r="C23" s="8"/>
      <c r="D23" s="8"/>
      <c r="E23" s="4"/>
      <c r="F23" s="14" t="s">
        <v>7</v>
      </c>
      <c r="G23" s="14" t="s">
        <v>7</v>
      </c>
      <c r="H23" s="14" t="s">
        <v>9</v>
      </c>
    </row>
    <row r="24" spans="1:9" ht="17" x14ac:dyDescent="0.2">
      <c r="A24" t="s">
        <v>42</v>
      </c>
      <c r="C24">
        <v>40</v>
      </c>
      <c r="D24">
        <v>40</v>
      </c>
      <c r="F24" s="14" t="s">
        <v>7</v>
      </c>
      <c r="G24" s="14" t="s">
        <v>7</v>
      </c>
      <c r="H24" s="14" t="s">
        <v>23</v>
      </c>
    </row>
    <row r="25" spans="1:9" ht="17" x14ac:dyDescent="0.2">
      <c r="B25" t="s">
        <v>51</v>
      </c>
      <c r="E25" s="4"/>
      <c r="F25" s="14" t="s">
        <v>6</v>
      </c>
      <c r="G25" s="14" t="s">
        <v>6</v>
      </c>
      <c r="H25" s="14" t="s">
        <v>9</v>
      </c>
    </row>
    <row r="26" spans="1:9" ht="17" x14ac:dyDescent="0.2">
      <c r="B26" t="s">
        <v>34</v>
      </c>
      <c r="C26" s="3"/>
      <c r="D26" s="3"/>
      <c r="F26" s="14" t="s">
        <v>6</v>
      </c>
      <c r="G26" s="14" t="s">
        <v>6</v>
      </c>
      <c r="H26" s="14" t="s">
        <v>9</v>
      </c>
    </row>
    <row r="27" spans="1:9" ht="17" x14ac:dyDescent="0.2">
      <c r="B27" t="s">
        <v>43</v>
      </c>
      <c r="C27" s="3"/>
      <c r="D27" s="3"/>
      <c r="F27" s="14" t="s">
        <v>6</v>
      </c>
      <c r="G27" s="14" t="s">
        <v>6</v>
      </c>
      <c r="H27" s="14" t="s">
        <v>9</v>
      </c>
    </row>
    <row r="28" spans="1:9" ht="17" x14ac:dyDescent="0.2">
      <c r="B28" t="s">
        <v>44</v>
      </c>
      <c r="C28" s="3"/>
      <c r="D28" s="3"/>
      <c r="F28" s="14" t="s">
        <v>6</v>
      </c>
      <c r="G28" s="14" t="s">
        <v>60</v>
      </c>
      <c r="H28" s="14" t="s">
        <v>59</v>
      </c>
    </row>
    <row r="29" spans="1:9" ht="17" x14ac:dyDescent="0.2">
      <c r="B29" t="s">
        <v>56</v>
      </c>
      <c r="C29" s="3"/>
      <c r="D29" s="3"/>
      <c r="F29" s="14" t="s">
        <v>58</v>
      </c>
      <c r="G29" s="14"/>
      <c r="H29" s="14" t="s">
        <v>9</v>
      </c>
    </row>
    <row r="30" spans="1:9" x14ac:dyDescent="0.2">
      <c r="A30" s="1" t="s">
        <v>4</v>
      </c>
      <c r="C30" s="1">
        <f>SUM(Part1Possible)</f>
        <v>175</v>
      </c>
      <c r="D30" s="1">
        <f>SUM(Part1Score)</f>
        <v>175</v>
      </c>
      <c r="F30" s="15"/>
      <c r="G30" s="11"/>
      <c r="I30">
        <f>D30/C30</f>
        <v>1</v>
      </c>
    </row>
    <row r="31" spans="1:9" x14ac:dyDescent="0.2">
      <c r="B31" s="3"/>
      <c r="D31" s="11">
        <f>D30/C30</f>
        <v>1</v>
      </c>
      <c r="F31" s="12"/>
    </row>
    <row r="32" spans="1:9" x14ac:dyDescent="0.2">
      <c r="A32" s="1" t="s">
        <v>0</v>
      </c>
    </row>
    <row r="33" spans="1:1" x14ac:dyDescent="0.2">
      <c r="A33" t="s">
        <v>62</v>
      </c>
    </row>
    <row r="34" spans="1:1" x14ac:dyDescent="0.2">
      <c r="A34" t="s">
        <v>27</v>
      </c>
    </row>
    <row r="35" spans="1:1" x14ac:dyDescent="0.2">
      <c r="A35" t="s">
        <v>28</v>
      </c>
    </row>
    <row r="36" spans="1:1" x14ac:dyDescent="0.2">
      <c r="A36" t="s">
        <v>31</v>
      </c>
    </row>
    <row r="37" spans="1:1" x14ac:dyDescent="0.2">
      <c r="A37" t="s">
        <v>29</v>
      </c>
    </row>
    <row r="38" spans="1:1" x14ac:dyDescent="0.2">
      <c r="A38" t="s">
        <v>30</v>
      </c>
    </row>
  </sheetData>
  <dataConsolidate/>
  <mergeCells count="5">
    <mergeCell ref="A1:F1"/>
    <mergeCell ref="A4:F4"/>
    <mergeCell ref="A2:F2"/>
    <mergeCell ref="A3:F3"/>
    <mergeCell ref="G4:H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5</xdr:col>
                    <xdr:colOff>1854200</xdr:colOff>
                    <xdr:row>32</xdr:row>
                    <xdr:rowOff>12700</xdr:rowOff>
                  </from>
                  <to>
                    <xdr:col>7</xdr:col>
                    <xdr:colOff>622300</xdr:colOff>
                    <xdr:row>33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5</xdr:col>
                    <xdr:colOff>1879600</xdr:colOff>
                    <xdr:row>30</xdr:row>
                    <xdr:rowOff>12700</xdr:rowOff>
                  </from>
                  <to>
                    <xdr:col>7</xdr:col>
                    <xdr:colOff>622300</xdr:colOff>
                    <xdr:row>31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8</vt:i4>
      </vt:variant>
    </vt:vector>
  </HeadingPairs>
  <TitlesOfParts>
    <vt:vector size="10" baseType="lpstr">
      <vt:lpstr>Rubric</vt:lpstr>
      <vt:lpstr>Grade</vt:lpstr>
      <vt:lpstr>OverallComments</vt:lpstr>
      <vt:lpstr>Part1Comments</vt:lpstr>
      <vt:lpstr>Part1Possible</vt:lpstr>
      <vt:lpstr>Part1Score</vt:lpstr>
      <vt:lpstr>Part2Comments</vt:lpstr>
      <vt:lpstr>Part2Possible</vt:lpstr>
      <vt:lpstr>TotalPossible</vt:lpstr>
      <vt:lpstr>TotalScore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2026-06-10T19:29:06Z</dcterms:modified>
</cp:coreProperties>
</file>