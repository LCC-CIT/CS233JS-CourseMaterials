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672BEDE6-B525-EC42-8B08-AA5B1082AE2B}" xr6:coauthVersionLast="47" xr6:coauthVersionMax="47" xr10:uidLastSave="{00000000-0000-0000-0000-000000000000}"/>
  <bookViews>
    <workbookView xWindow="0" yWindow="540" windowWidth="26240" windowHeight="15500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Grade!$A$34</definedName>
    <definedName name="Part1Comments">Grade!$F$6:$F$29</definedName>
    <definedName name="Part1Possible">Grade!$C$6:$C$29</definedName>
    <definedName name="Part1Score">Grade!$D$6:$D$29</definedName>
    <definedName name="Part1Scores">Grade!#REF!</definedName>
    <definedName name="Part2Comments">Grade!$F$7:$F$19</definedName>
    <definedName name="Part2Possible">Grade!$C$7:$C$31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Grade!$C$31</definedName>
    <definedName name="TotalScore">Grade!$D$31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C31" i="2"/>
  <c r="D31" i="2"/>
  <c r="I31" i="2" l="1"/>
</calcChain>
</file>

<file path=xl/sharedStrings.xml><?xml version="1.0" encoding="utf-8"?>
<sst xmlns="http://schemas.openxmlformats.org/spreadsheetml/2006/main" count="143" uniqueCount="81">
  <si>
    <t>Comments</t>
  </si>
  <si>
    <t>Here's the grade breakdown:</t>
  </si>
  <si>
    <t>Requirements:</t>
  </si>
  <si>
    <t>Points</t>
  </si>
  <si>
    <t>Total</t>
  </si>
  <si>
    <t>Score</t>
  </si>
  <si>
    <t>Yes</t>
  </si>
  <si>
    <t>Excellent</t>
  </si>
  <si>
    <t>Stock comments</t>
  </si>
  <si>
    <t>No</t>
  </si>
  <si>
    <t>Missing</t>
  </si>
  <si>
    <t>Professional looking</t>
  </si>
  <si>
    <t>Needs improvement</t>
  </si>
  <si>
    <t>Not workinig</t>
  </si>
  <si>
    <t>CS 233JS Term Projec Final</t>
  </si>
  <si>
    <t>CS 233JS Term Project Final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</si>
  <si>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</si>
  <si>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</si>
  <si>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</si>
  <si>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</si>
  <si>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</si>
  <si>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</si>
  <si>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Style and best practices</t>
  </si>
  <si>
    <t>User friendly (good UX)</t>
  </si>
  <si>
    <t>CSS, Bootstrap or other CSS library</t>
  </si>
  <si>
    <t>local storage, html canvas, regular expressions, arrow functions, etc.</t>
  </si>
  <si>
    <t>Vitest unit test(s)</t>
  </si>
  <si>
    <t>build and dev scripts work</t>
  </si>
  <si>
    <t>Vite</t>
  </si>
  <si>
    <t>Best Practices and Code Quality</t>
  </si>
  <si>
    <t>Dev name and date in all files</t>
  </si>
  <si>
    <t>File and folder structure/naming</t>
  </si>
  <si>
    <t>Repository and Deployment</t>
  </si>
  <si>
    <t>.env used correctly, example.env</t>
  </si>
  <si>
    <t>Git repository and .gitignore</t>
  </si>
  <si>
    <t>fetch used with .then or await</t>
  </si>
  <si>
    <t>correct error handling</t>
  </si>
  <si>
    <t>Design / Separation of UI code</t>
  </si>
  <si>
    <t>Overall Functionality</t>
  </si>
  <si>
    <t>"New" JS Technology</t>
  </si>
  <si>
    <t>Web API Call</t>
  </si>
  <si>
    <t>Styling and UI Design</t>
  </si>
  <si>
    <t>Code review, prod column completed</t>
  </si>
  <si>
    <t>Class(es) Used</t>
  </si>
  <si>
    <t>Yes, yes</t>
  </si>
  <si>
    <t>Good</t>
  </si>
  <si>
    <t>Excellent! Everything works and the app and code look great!</t>
  </si>
  <si>
    <t>&lt;-- Grader</t>
  </si>
  <si>
    <t>Computer</t>
  </si>
  <si>
    <t>Yes, no</t>
  </si>
  <si>
    <t>No, no</t>
  </si>
  <si>
    <t>Mostly working</t>
  </si>
  <si>
    <t>Attempted</t>
  </si>
  <si>
    <t>Partially</t>
  </si>
  <si>
    <t>Incorrect</t>
  </si>
  <si>
    <t>Not running</t>
  </si>
  <si>
    <t>Poor</t>
  </si>
  <si>
    <t>Fair</t>
  </si>
  <si>
    <t>Some</t>
  </si>
  <si>
    <t>Bundled code running on a server</t>
  </si>
  <si>
    <t>Excellent work, everything looks great!</t>
  </si>
  <si>
    <t/>
  </si>
  <si>
    <t>Criteria</t>
  </si>
  <si>
    <t>All features are working correctly</t>
  </si>
  <si>
    <t>Fetch API used to call a web service asynchronously</t>
  </si>
  <si>
    <t>A try-catch block or .then used to handle errors</t>
  </si>
  <si>
    <t>User secrets (API key, etc.) are in .env, not in source code</t>
  </si>
  <si>
    <t>At least one class is used and is used appropriately</t>
  </si>
  <si>
    <t>local storage, html canvas, regular expressions, arrow function, descructuring assignment, spread operator.</t>
  </si>
  <si>
    <t>There are scripts for buid and dev and they run correctly</t>
  </si>
  <si>
    <t>The git repository has all non-source files excluded</t>
  </si>
  <si>
    <t>TBundled code is deployed to a server, URL is correct and app runs correctly.</t>
  </si>
  <si>
    <t>There is at least 1 appropriate vitest unit test. Tests all pass.</t>
  </si>
  <si>
    <t>Web page has good visual design.</t>
  </si>
  <si>
    <t>Some kind of styling has been applied.</t>
  </si>
  <si>
    <t>The UI behavior is intuative and logical</t>
  </si>
  <si>
    <t>Good architectural design--especially separtion of business rules from UI.</t>
  </si>
  <si>
    <t>Conforms to class standards for style and best coding practices.</t>
  </si>
  <si>
    <t>Developer's name in date in all source files as well as notes on AI use.</t>
  </si>
  <si>
    <t>Standard folder structure and conventiional, descriptive file names.</t>
  </si>
  <si>
    <t>Code review from another student with the production column completed.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</si>
</sst>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/>
    <xf numFmtId="9" fontId="0" fillId="0" borderId="0" xfId="0" applyNumberFormat="1"/>
    <xf numFmtId="49" fontId="0" fillId="0" borderId="0" xfId="0" applyNumberFormat="1" applyFont="1"/>
    <xf numFmtId="49" fontId="0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31</xdr:row>
          <xdr:rowOff>12700</xdr:rowOff>
        </xdr:from>
        <xdr:to>
          <xdr:col>7</xdr:col>
          <xdr:colOff>622300</xdr:colOff>
          <xdr:row>32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33</xdr:row>
          <xdr:rowOff>12700</xdr:rowOff>
        </xdr:from>
        <xdr:to>
          <xdr:col>7</xdr:col>
          <xdr:colOff>622300</xdr:colOff>
          <xdr:row>34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0"/>
  <sheetViews>
    <sheetView tabSelected="1" topLeftCell="A12" zoomScale="150" zoomScaleNormal="150" workbookViewId="0">
      <selection activeCell="E28" sqref="E28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  <col min="4" max="4" width="0.6640625" customWidth="1"/>
    <col min="5" max="5" width="60.5" customWidth="1"/>
  </cols>
  <sheetData>
    <row r="1" spans="1:6" x14ac:dyDescent="0.2">
      <c r="A1" s="16" t="s">
        <v>15</v>
      </c>
      <c r="B1" s="16"/>
      <c r="C1" s="16"/>
      <c r="D1" s="16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8" t="s">
        <v>62</v>
      </c>
      <c r="F3" s="5"/>
    </row>
    <row r="4" spans="1:6" x14ac:dyDescent="0.2">
      <c r="A4" t="s">
        <v>38</v>
      </c>
      <c r="C4">
        <v>20</v>
      </c>
      <c r="D4" s="2"/>
      <c r="E4" s="24" t="s">
        <v>63</v>
      </c>
      <c r="F4" s="5"/>
    </row>
    <row r="5" spans="1:6" x14ac:dyDescent="0.2">
      <c r="A5" t="s">
        <v>40</v>
      </c>
      <c r="D5" s="2"/>
      <c r="E5" s="24"/>
      <c r="F5" s="5"/>
    </row>
    <row r="6" spans="1:6" x14ac:dyDescent="0.2">
      <c r="B6" t="s">
        <v>35</v>
      </c>
      <c r="C6">
        <v>5</v>
      </c>
      <c r="D6" s="2"/>
      <c r="E6" s="24" t="s">
        <v>64</v>
      </c>
      <c r="F6" s="5"/>
    </row>
    <row r="7" spans="1:6" x14ac:dyDescent="0.2">
      <c r="B7" t="s">
        <v>36</v>
      </c>
      <c r="C7">
        <v>3</v>
      </c>
      <c r="D7" s="2"/>
      <c r="E7" s="24" t="s">
        <v>65</v>
      </c>
      <c r="F7" s="5"/>
    </row>
    <row r="8" spans="1:6" x14ac:dyDescent="0.2">
      <c r="B8" t="s">
        <v>33</v>
      </c>
      <c r="C8">
        <v>5</v>
      </c>
      <c r="D8" s="2"/>
      <c r="E8" s="24" t="s">
        <v>66</v>
      </c>
      <c r="F8" s="5"/>
    </row>
    <row r="9" spans="1:6" x14ac:dyDescent="0.2">
      <c r="A9" t="s">
        <v>43</v>
      </c>
      <c r="C9">
        <v>8</v>
      </c>
      <c r="D9" s="2"/>
      <c r="E9" s="24" t="s">
        <v>67</v>
      </c>
      <c r="F9" s="5"/>
    </row>
    <row r="10" spans="1:6" ht="34" x14ac:dyDescent="0.2">
      <c r="A10" t="s">
        <v>39</v>
      </c>
      <c r="C10">
        <v>5</v>
      </c>
      <c r="D10" s="2"/>
      <c r="E10" s="25" t="s">
        <v>68</v>
      </c>
    </row>
    <row r="11" spans="1:6" x14ac:dyDescent="0.2">
      <c r="A11" t="s">
        <v>28</v>
      </c>
      <c r="D11" s="2"/>
      <c r="E11" s="25"/>
    </row>
    <row r="12" spans="1:6" ht="17" x14ac:dyDescent="0.2">
      <c r="B12" t="s">
        <v>27</v>
      </c>
      <c r="C12">
        <v>4</v>
      </c>
      <c r="D12" s="2"/>
      <c r="E12" s="25" t="s">
        <v>69</v>
      </c>
    </row>
    <row r="13" spans="1:6" ht="17" x14ac:dyDescent="0.2">
      <c r="B13" t="s">
        <v>26</v>
      </c>
      <c r="C13">
        <v>8</v>
      </c>
      <c r="D13" s="2"/>
      <c r="E13" s="25" t="s">
        <v>72</v>
      </c>
    </row>
    <row r="14" spans="1:6" x14ac:dyDescent="0.2">
      <c r="A14" t="s">
        <v>32</v>
      </c>
      <c r="D14" s="2"/>
      <c r="E14" s="25"/>
    </row>
    <row r="15" spans="1:6" ht="17" x14ac:dyDescent="0.2">
      <c r="B15" t="s">
        <v>34</v>
      </c>
      <c r="C15">
        <v>3</v>
      </c>
      <c r="D15" s="2"/>
      <c r="E15" s="25" t="s">
        <v>70</v>
      </c>
    </row>
    <row r="16" spans="1:6" ht="34" x14ac:dyDescent="0.2">
      <c r="B16" t="s">
        <v>59</v>
      </c>
      <c r="C16">
        <v>8</v>
      </c>
      <c r="D16" s="2"/>
      <c r="E16" s="25" t="s">
        <v>71</v>
      </c>
    </row>
    <row r="17" spans="1:6" x14ac:dyDescent="0.2">
      <c r="A17" t="s">
        <v>41</v>
      </c>
      <c r="B17" s="1"/>
      <c r="D17" s="2"/>
      <c r="E17" s="24"/>
    </row>
    <row r="18" spans="1:6" x14ac:dyDescent="0.2">
      <c r="B18" t="s">
        <v>11</v>
      </c>
      <c r="C18" s="22">
        <v>3</v>
      </c>
      <c r="E18" s="24" t="s">
        <v>73</v>
      </c>
      <c r="F18" s="4"/>
    </row>
    <row r="19" spans="1:6" x14ac:dyDescent="0.2">
      <c r="B19" t="s">
        <v>24</v>
      </c>
      <c r="C19" s="22">
        <v>3</v>
      </c>
      <c r="D19" s="1"/>
      <c r="E19" s="24" t="s">
        <v>74</v>
      </c>
    </row>
    <row r="20" spans="1:6" x14ac:dyDescent="0.2">
      <c r="B20" t="s">
        <v>23</v>
      </c>
      <c r="C20" s="22">
        <v>3</v>
      </c>
      <c r="D20" s="1"/>
      <c r="E20" s="24" t="s">
        <v>75</v>
      </c>
      <c r="F20" s="4"/>
    </row>
    <row r="21" spans="1:6" x14ac:dyDescent="0.2">
      <c r="A21" t="s">
        <v>29</v>
      </c>
      <c r="E21" s="25"/>
    </row>
    <row r="22" spans="1:6" ht="17" customHeight="1" x14ac:dyDescent="0.2">
      <c r="B22" t="s">
        <v>37</v>
      </c>
      <c r="C22">
        <v>6</v>
      </c>
      <c r="E22" s="25" t="s">
        <v>76</v>
      </c>
    </row>
    <row r="23" spans="1:6" ht="18" customHeight="1" x14ac:dyDescent="0.2">
      <c r="B23" t="s">
        <v>22</v>
      </c>
      <c r="C23" s="22">
        <v>4</v>
      </c>
      <c r="E23" s="25" t="s">
        <v>77</v>
      </c>
    </row>
    <row r="24" spans="1:6" x14ac:dyDescent="0.2">
      <c r="B24" t="s">
        <v>30</v>
      </c>
      <c r="C24" s="22">
        <v>4</v>
      </c>
      <c r="E24" s="24" t="s">
        <v>78</v>
      </c>
      <c r="F24" s="4"/>
    </row>
    <row r="25" spans="1:6" x14ac:dyDescent="0.2">
      <c r="B25" t="s">
        <v>31</v>
      </c>
      <c r="C25" s="22">
        <v>4</v>
      </c>
      <c r="E25" s="24" t="s">
        <v>79</v>
      </c>
    </row>
    <row r="26" spans="1:6" x14ac:dyDescent="0.2">
      <c r="B26" t="s">
        <v>42</v>
      </c>
      <c r="C26" s="22">
        <v>4</v>
      </c>
      <c r="D26" s="1"/>
      <c r="E26" s="24" t="s">
        <v>80</v>
      </c>
    </row>
    <row r="27" spans="1:6" x14ac:dyDescent="0.2">
      <c r="A27" s="6"/>
      <c r="C27" s="6"/>
    </row>
    <row r="28" spans="1:6" x14ac:dyDescent="0.2">
      <c r="B28" s="1" t="s">
        <v>4</v>
      </c>
      <c r="C28">
        <f>SUM(C4:C26)</f>
        <v>100</v>
      </c>
    </row>
    <row r="29" spans="1:6" x14ac:dyDescent="0.2">
      <c r="A29" s="1"/>
      <c r="C29" s="1"/>
    </row>
    <row r="30" spans="1:6" x14ac:dyDescent="0.2">
      <c r="B30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9"/>
  <sheetViews>
    <sheetView zoomScale="93" zoomScaleNormal="130" workbookViewId="0">
      <selection activeCell="A6" sqref="A6:C29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12.1640625" customWidth="1"/>
    <col min="8" max="8" width="21" customWidth="1"/>
    <col min="9" max="9" width="19.1640625" customWidth="1"/>
  </cols>
  <sheetData>
    <row r="1" spans="1:9" ht="20.5" customHeight="1" x14ac:dyDescent="0.2">
      <c r="A1" s="16" t="s">
        <v>14</v>
      </c>
      <c r="B1" s="16"/>
      <c r="C1" s="16"/>
      <c r="D1" s="16"/>
      <c r="E1" s="17"/>
      <c r="F1" s="17"/>
      <c r="G1" t="s">
        <v>48</v>
      </c>
      <c r="H1" t="s">
        <v>47</v>
      </c>
    </row>
    <row r="2" spans="1:9" x14ac:dyDescent="0.2">
      <c r="A2" s="18" t="s">
        <v>60</v>
      </c>
      <c r="B2" s="18"/>
      <c r="C2" s="18"/>
      <c r="D2" s="18"/>
      <c r="E2" s="18"/>
      <c r="F2" s="18"/>
    </row>
    <row r="3" spans="1:9" x14ac:dyDescent="0.2">
      <c r="A3" s="19" t="s">
        <v>61</v>
      </c>
      <c r="B3" s="19"/>
      <c r="C3" s="19"/>
      <c r="D3" s="19"/>
      <c r="E3" s="19"/>
      <c r="F3" s="19"/>
    </row>
    <row r="4" spans="1:9" x14ac:dyDescent="0.2">
      <c r="A4" s="18" t="s">
        <v>1</v>
      </c>
      <c r="B4" s="18"/>
      <c r="C4" s="18"/>
      <c r="D4" s="18"/>
      <c r="E4" s="18"/>
      <c r="F4" s="18"/>
      <c r="G4" s="20" t="s">
        <v>8</v>
      </c>
      <c r="H4" s="21"/>
    </row>
    <row r="5" spans="1:9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I5" s="9">
        <v>0</v>
      </c>
    </row>
    <row r="6" spans="1:9" ht="17" x14ac:dyDescent="0.2">
      <c r="A6" t="s">
        <v>38</v>
      </c>
      <c r="C6">
        <v>20</v>
      </c>
      <c r="D6">
        <v>20</v>
      </c>
      <c r="F6" s="12"/>
      <c r="G6" s="12" t="s">
        <v>7</v>
      </c>
      <c r="H6" t="s">
        <v>51</v>
      </c>
      <c r="I6" s="12" t="s">
        <v>13</v>
      </c>
    </row>
    <row r="7" spans="1:9" x14ac:dyDescent="0.2">
      <c r="A7" t="s">
        <v>40</v>
      </c>
      <c r="F7" s="12"/>
    </row>
    <row r="8" spans="1:9" ht="17" x14ac:dyDescent="0.2">
      <c r="B8" t="s">
        <v>35</v>
      </c>
      <c r="C8">
        <v>5</v>
      </c>
      <c r="D8">
        <v>5</v>
      </c>
      <c r="F8" s="12"/>
      <c r="G8" s="12" t="s">
        <v>6</v>
      </c>
      <c r="H8" t="s">
        <v>52</v>
      </c>
      <c r="I8" s="12" t="s">
        <v>9</v>
      </c>
    </row>
    <row r="9" spans="1:9" ht="17" x14ac:dyDescent="0.2">
      <c r="B9" t="s">
        <v>36</v>
      </c>
      <c r="C9">
        <v>3</v>
      </c>
      <c r="D9">
        <v>3</v>
      </c>
      <c r="F9" s="12"/>
      <c r="G9" s="12" t="s">
        <v>6</v>
      </c>
      <c r="H9" t="s">
        <v>52</v>
      </c>
      <c r="I9" s="12" t="s">
        <v>9</v>
      </c>
    </row>
    <row r="10" spans="1:9" ht="17" x14ac:dyDescent="0.2">
      <c r="B10" t="s">
        <v>33</v>
      </c>
      <c r="C10">
        <v>5</v>
      </c>
      <c r="D10">
        <v>5</v>
      </c>
      <c r="F10" s="12"/>
      <c r="G10" s="12" t="s">
        <v>6</v>
      </c>
      <c r="H10" t="s">
        <v>52</v>
      </c>
      <c r="I10" s="12" t="s">
        <v>9</v>
      </c>
    </row>
    <row r="11" spans="1:9" ht="17" x14ac:dyDescent="0.2">
      <c r="A11" t="s">
        <v>43</v>
      </c>
      <c r="C11">
        <v>8</v>
      </c>
      <c r="D11">
        <v>8</v>
      </c>
      <c r="F11" s="12"/>
      <c r="G11" s="12" t="s">
        <v>6</v>
      </c>
      <c r="H11" t="s">
        <v>52</v>
      </c>
      <c r="I11" s="12" t="s">
        <v>9</v>
      </c>
    </row>
    <row r="12" spans="1:9" ht="17" x14ac:dyDescent="0.2">
      <c r="A12" t="s">
        <v>39</v>
      </c>
      <c r="C12">
        <v>5</v>
      </c>
      <c r="D12">
        <v>5</v>
      </c>
      <c r="F12" s="12"/>
      <c r="G12" s="12" t="s">
        <v>6</v>
      </c>
      <c r="H12" t="s">
        <v>53</v>
      </c>
      <c r="I12" s="12" t="s">
        <v>21</v>
      </c>
    </row>
    <row r="13" spans="1:9" ht="34" x14ac:dyDescent="0.2">
      <c r="B13" s="14" t="s">
        <v>25</v>
      </c>
      <c r="F13" s="12"/>
      <c r="G13" s="12"/>
      <c r="I13" s="12"/>
    </row>
    <row r="14" spans="1:9" x14ac:dyDescent="0.2">
      <c r="A14" t="s">
        <v>28</v>
      </c>
      <c r="F14" s="12"/>
      <c r="G14" s="12"/>
      <c r="I14" s="12"/>
    </row>
    <row r="15" spans="1:9" ht="17" x14ac:dyDescent="0.2">
      <c r="B15" t="s">
        <v>27</v>
      </c>
      <c r="C15">
        <v>4</v>
      </c>
      <c r="D15">
        <v>4</v>
      </c>
      <c r="F15" s="12"/>
      <c r="G15" s="12" t="s">
        <v>6</v>
      </c>
      <c r="H15" t="s">
        <v>53</v>
      </c>
      <c r="I15" s="12" t="s">
        <v>9</v>
      </c>
    </row>
    <row r="16" spans="1:9" ht="17" x14ac:dyDescent="0.2">
      <c r="B16" t="s">
        <v>26</v>
      </c>
      <c r="C16">
        <v>8</v>
      </c>
      <c r="D16">
        <v>8</v>
      </c>
      <c r="F16" s="12"/>
      <c r="G16" s="12" t="s">
        <v>6</v>
      </c>
      <c r="H16" t="s">
        <v>52</v>
      </c>
      <c r="I16" s="12" t="s">
        <v>9</v>
      </c>
    </row>
    <row r="17" spans="1:9" x14ac:dyDescent="0.2">
      <c r="A17" t="s">
        <v>32</v>
      </c>
      <c r="F17" s="12"/>
    </row>
    <row r="18" spans="1:9" ht="17" x14ac:dyDescent="0.2">
      <c r="B18" t="s">
        <v>34</v>
      </c>
      <c r="C18">
        <v>3</v>
      </c>
      <c r="D18">
        <v>3</v>
      </c>
      <c r="F18" s="12"/>
      <c r="G18" s="12" t="s">
        <v>6</v>
      </c>
      <c r="H18" t="s">
        <v>54</v>
      </c>
      <c r="I18" s="12" t="s">
        <v>9</v>
      </c>
    </row>
    <row r="19" spans="1:9" ht="17" x14ac:dyDescent="0.2">
      <c r="B19" t="s">
        <v>59</v>
      </c>
      <c r="C19">
        <v>8</v>
      </c>
      <c r="D19">
        <v>8</v>
      </c>
      <c r="F19" s="12"/>
      <c r="G19" s="12" t="s">
        <v>6</v>
      </c>
      <c r="H19" t="s">
        <v>55</v>
      </c>
      <c r="I19" s="12" t="s">
        <v>9</v>
      </c>
    </row>
    <row r="20" spans="1:9" x14ac:dyDescent="0.2">
      <c r="A20" t="s">
        <v>41</v>
      </c>
      <c r="B20" s="1"/>
      <c r="E20" s="2"/>
      <c r="F20" s="13"/>
      <c r="G20" s="12"/>
      <c r="I20" s="12"/>
    </row>
    <row r="21" spans="1:9" ht="17" x14ac:dyDescent="0.2">
      <c r="B21" t="s">
        <v>11</v>
      </c>
      <c r="C21" s="22">
        <v>3</v>
      </c>
      <c r="D21" s="22">
        <v>3</v>
      </c>
      <c r="E21" s="4"/>
      <c r="F21" s="12"/>
      <c r="G21" s="12" t="s">
        <v>7</v>
      </c>
      <c r="H21" t="s">
        <v>45</v>
      </c>
      <c r="I21" s="12" t="s">
        <v>12</v>
      </c>
    </row>
    <row r="22" spans="1:9" ht="17" x14ac:dyDescent="0.2">
      <c r="B22" t="s">
        <v>24</v>
      </c>
      <c r="C22" s="22">
        <v>3</v>
      </c>
      <c r="D22" s="22">
        <v>3</v>
      </c>
      <c r="E22" s="4"/>
      <c r="F22" s="12"/>
      <c r="G22" s="12" t="s">
        <v>6</v>
      </c>
      <c r="H22" t="s">
        <v>52</v>
      </c>
      <c r="I22" s="12" t="s">
        <v>10</v>
      </c>
    </row>
    <row r="23" spans="1:9" ht="17" x14ac:dyDescent="0.2">
      <c r="B23" t="s">
        <v>23</v>
      </c>
      <c r="C23" s="22">
        <v>3</v>
      </c>
      <c r="D23" s="22">
        <v>3</v>
      </c>
      <c r="E23" s="4"/>
      <c r="F23" s="12"/>
      <c r="G23" s="12" t="s">
        <v>7</v>
      </c>
      <c r="H23" t="s">
        <v>45</v>
      </c>
      <c r="I23" s="12" t="s">
        <v>12</v>
      </c>
    </row>
    <row r="24" spans="1:9" x14ac:dyDescent="0.2">
      <c r="A24" t="s">
        <v>29</v>
      </c>
      <c r="F24" s="12"/>
      <c r="G24" s="12"/>
      <c r="I24" s="12"/>
    </row>
    <row r="25" spans="1:9" ht="17" x14ac:dyDescent="0.2">
      <c r="B25" t="s">
        <v>37</v>
      </c>
      <c r="C25">
        <v>6</v>
      </c>
      <c r="D25">
        <v>6</v>
      </c>
      <c r="E25" s="4"/>
      <c r="F25" s="12"/>
      <c r="G25" s="12" t="s">
        <v>7</v>
      </c>
      <c r="H25" t="s">
        <v>57</v>
      </c>
      <c r="I25" s="12" t="s">
        <v>56</v>
      </c>
    </row>
    <row r="26" spans="1:9" ht="17" x14ac:dyDescent="0.2">
      <c r="B26" t="s">
        <v>22</v>
      </c>
      <c r="C26" s="22">
        <v>4</v>
      </c>
      <c r="D26" s="22">
        <v>4</v>
      </c>
      <c r="F26" s="12"/>
      <c r="G26" s="12" t="s">
        <v>7</v>
      </c>
      <c r="H26" t="s">
        <v>57</v>
      </c>
      <c r="I26" s="12" t="s">
        <v>56</v>
      </c>
    </row>
    <row r="27" spans="1:9" ht="17" x14ac:dyDescent="0.2">
      <c r="B27" t="s">
        <v>30</v>
      </c>
      <c r="C27" s="22">
        <v>4</v>
      </c>
      <c r="D27" s="22">
        <v>4</v>
      </c>
      <c r="F27" s="12"/>
      <c r="G27" s="12" t="s">
        <v>6</v>
      </c>
      <c r="H27" t="s">
        <v>58</v>
      </c>
      <c r="I27" s="12" t="s">
        <v>10</v>
      </c>
    </row>
    <row r="28" spans="1:9" ht="17" x14ac:dyDescent="0.2">
      <c r="B28" t="s">
        <v>31</v>
      </c>
      <c r="C28" s="22">
        <v>4</v>
      </c>
      <c r="D28" s="22">
        <v>4</v>
      </c>
      <c r="F28" s="12"/>
      <c r="G28" s="12" t="s">
        <v>7</v>
      </c>
      <c r="H28" t="s">
        <v>57</v>
      </c>
      <c r="I28" s="12" t="s">
        <v>12</v>
      </c>
    </row>
    <row r="29" spans="1:9" ht="17" x14ac:dyDescent="0.2">
      <c r="B29" t="s">
        <v>42</v>
      </c>
      <c r="C29" s="22">
        <v>4</v>
      </c>
      <c r="D29" s="22">
        <v>4</v>
      </c>
      <c r="F29" s="15"/>
      <c r="G29" s="12" t="s">
        <v>44</v>
      </c>
      <c r="H29" t="s">
        <v>49</v>
      </c>
      <c r="I29" s="12" t="s">
        <v>50</v>
      </c>
    </row>
    <row r="30" spans="1:9" x14ac:dyDescent="0.2">
      <c r="C30" s="22"/>
      <c r="D30" s="22"/>
      <c r="G30" s="12"/>
      <c r="I30" s="12"/>
    </row>
    <row r="31" spans="1:9" x14ac:dyDescent="0.2">
      <c r="A31" s="1" t="s">
        <v>4</v>
      </c>
      <c r="C31" s="1">
        <f>SUM(Part1Possible)</f>
        <v>100</v>
      </c>
      <c r="D31" s="1">
        <f>SUM(Part1Score)</f>
        <v>100</v>
      </c>
      <c r="F31" s="13"/>
      <c r="G31" s="10"/>
      <c r="I31">
        <f>D31/C31</f>
        <v>1</v>
      </c>
    </row>
    <row r="32" spans="1:9" x14ac:dyDescent="0.2">
      <c r="B32" s="3"/>
      <c r="D32" s="23"/>
      <c r="F32" s="11"/>
    </row>
    <row r="33" spans="1:1" x14ac:dyDescent="0.2">
      <c r="A33" s="1" t="s">
        <v>0</v>
      </c>
    </row>
    <row r="34" spans="1:1" x14ac:dyDescent="0.2">
      <c r="A34" t="s">
        <v>46</v>
      </c>
    </row>
    <row r="35" spans="1:1" x14ac:dyDescent="0.2">
      <c r="A35" t="s">
        <v>16</v>
      </c>
    </row>
    <row r="36" spans="1:1" x14ac:dyDescent="0.2">
      <c r="A36" t="s">
        <v>17</v>
      </c>
    </row>
    <row r="37" spans="1:1" x14ac:dyDescent="0.2">
      <c r="A37" t="s">
        <v>20</v>
      </c>
    </row>
    <row r="38" spans="1:1" x14ac:dyDescent="0.2">
      <c r="A38" t="s">
        <v>18</v>
      </c>
    </row>
    <row r="39" spans="1:1" x14ac:dyDescent="0.2">
      <c r="A39" t="s">
        <v>19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33</xdr:row>
                    <xdr:rowOff>12700</xdr:rowOff>
                  </from>
                  <to>
                    <xdr:col>7</xdr:col>
                    <xdr:colOff>622300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31</xdr:row>
                    <xdr:rowOff>12700</xdr:rowOff>
                  </from>
                  <to>
                    <xdr:col>7</xdr:col>
                    <xdr:colOff>622300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2026-06-11T04:49:42Z</dcterms:modified>
</cp:coreProperties>
</file>